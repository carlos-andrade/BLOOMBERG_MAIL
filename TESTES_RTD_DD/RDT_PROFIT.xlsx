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Andrade\Desktop\FVG-ATLAS\"/>
    </mc:Choice>
  </mc:AlternateContent>
  <xr:revisionPtr revIDLastSave="0" documentId="13_ncr:1_{2121EA06-75E3-4457-96A9-4CEEE45BFB94}" xr6:coauthVersionLast="47" xr6:coauthVersionMax="47" xr10:uidLastSave="{00000000-0000-0000-0000-000000000000}"/>
  <bookViews>
    <workbookView xWindow="-120" yWindow="-120" windowWidth="38640" windowHeight="21120" xr2:uid="{159E92D4-126E-457A-AFFD-81F705B875C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K2" i="1"/>
  <c r="L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</calcChain>
</file>

<file path=xl/sharedStrings.xml><?xml version="1.0" encoding="utf-8"?>
<sst xmlns="http://schemas.openxmlformats.org/spreadsheetml/2006/main" count="40" uniqueCount="40">
  <si>
    <t>Asset</t>
  </si>
  <si>
    <t>Data</t>
  </si>
  <si>
    <t>Hora</t>
  </si>
  <si>
    <t>Último</t>
  </si>
  <si>
    <t>Abertura</t>
  </si>
  <si>
    <t>Máximo</t>
  </si>
  <si>
    <t>Mínimo</t>
  </si>
  <si>
    <t>Fechamento Anterior</t>
  </si>
  <si>
    <t>Strike</t>
  </si>
  <si>
    <t>Variação</t>
  </si>
  <si>
    <t>Variação(pts)</t>
  </si>
  <si>
    <t>Média</t>
  </si>
  <si>
    <t>Nome do Ativo</t>
  </si>
  <si>
    <t>Negócios</t>
  </si>
  <si>
    <t>QUL</t>
  </si>
  <si>
    <t>Quantidade</t>
  </si>
  <si>
    <t>Volume</t>
  </si>
  <si>
    <t>Of. Compra</t>
  </si>
  <si>
    <t>Of. Venda</t>
  </si>
  <si>
    <t>VOC</t>
  </si>
  <si>
    <t>VOV</t>
  </si>
  <si>
    <t>Ajuste</t>
  </si>
  <si>
    <t>Aj. Anterior</t>
  </si>
  <si>
    <t>Preço Teórico</t>
  </si>
  <si>
    <t>Qtd. Teórica</t>
  </si>
  <si>
    <t>Volume Projetado</t>
  </si>
  <si>
    <t>Semana</t>
  </si>
  <si>
    <t>Mês</t>
  </si>
  <si>
    <t>3 meses</t>
  </si>
  <si>
    <t>6 meses</t>
  </si>
  <si>
    <t>12 meses</t>
  </si>
  <si>
    <t>Ano</t>
  </si>
  <si>
    <t>Trimestre</t>
  </si>
  <si>
    <t>Semestre</t>
  </si>
  <si>
    <t>Vencimento</t>
  </si>
  <si>
    <t>Validade</t>
  </si>
  <si>
    <t>Cont. Abertos</t>
  </si>
  <si>
    <t>Estado Atual</t>
  </si>
  <si>
    <t>Ibovespa Mini</t>
  </si>
  <si>
    <t>WINFUT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</si>
</sst>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>
        <v>16.782420100832386</v>
        <stp/>
        <stp>WINFUT_F_0</stp>
        <stp>SEMES</stp>
        <tr r="AH2" s="1"/>
      </tp>
      <tp t="s">
        <v>09:38:34</v>
        <stp/>
        <stp>WINFUT_F_0</stp>
        <stp>HOR</stp>
        <tr r="C2" s="1"/>
      </tp>
      <tp>
        <v>828659</v>
        <stp/>
        <stp>WINFUT_F_0</stp>
        <stp>NEG</stp>
        <tr r="N2" s="1"/>
      </tp>
      <tp>
        <v>208070</v>
        <stp/>
        <stp>WINFUT_F_0</stp>
        <stp>OCP</stp>
        <tr r="R2" s="1"/>
      </tp>
      <tp>
        <v>208075</v>
        <stp/>
        <stp>WINFUT_F_0</stp>
        <stp>OVD</stp>
        <tr r="S2" s="1"/>
      </tp>
      <tp>
        <v>208227.50470853789</v>
        <stp/>
        <stp>WINFUT_F_0</stp>
        <stp>MED</stp>
        <tr r="L2" s="1"/>
      </tp>
      <tp>
        <v>10.852424080980287</v>
        <stp/>
        <stp>WINFUT_F_0</stp>
        <stp>MES</stp>
        <tr r="AB2" s="1"/>
      </tp>
      <tp>
        <v>209540</v>
        <stp/>
        <stp>WINFUT_F_0</stp>
        <stp>MAX</stp>
        <tr r="F2" s="1"/>
      </tp>
      <tp>
        <v>207625</v>
        <stp/>
        <stp>WINFUT_F_0</stp>
        <stp>MIN</stp>
        <tr r="G2" s="1"/>
      </tp>
      <tp>
        <v>1138999</v>
        <stp/>
        <stp>WINFUT_F_0</stp>
        <stp>CAB</stp>
        <tr r="AK2" s="1"/>
      </tp>
      <tp>
        <v>209115</v>
        <stp/>
        <stp>WINFUT_F_0</stp>
        <stp>ABE</stp>
        <tr r="E2" s="1"/>
      </tp>
      <tp>
        <v>17.186204186949816</v>
        <stp/>
        <stp>WINFUT_F_0</stp>
        <stp>ANO</stp>
        <tr r="AF2" s="1"/>
      </tp>
      <tp>
        <v>206635</v>
        <stp/>
        <stp>WINFUT_F_0</stp>
        <stp>AJA</stp>
        <tr r="W2" s="1"/>
      </tp>
      <tp>
        <v>0</v>
        <stp/>
        <stp>WINFUT_F_0</stp>
        <stp>AJU</stp>
        <tr r="V2" s="1"/>
      </tp>
      <tp>
        <v>207185</v>
        <stp/>
        <stp>WINFUT_F_0</stp>
        <stp>FEC</stp>
        <tr r="H2" s="1"/>
      </tp>
      <tp t="s">
        <v>09/10/2026</v>
        <stp/>
        <stp>WINFUT_F_0</stp>
        <stp>DAT</stp>
        <tr r="B2" s="1"/>
      </tp>
      <tp t="s">
        <v>Aberto</v>
        <stp/>
        <stp>WINFUT_F_0</stp>
        <stp>EST</stp>
        <tr r="AL2" s="1"/>
      </tp>
      <tp>
        <v>885</v>
        <stp/>
        <stp>WINFUT_F_0</stp>
        <stp>VARPTS</stp>
        <tr r="K2" s="1"/>
      </tp>
      <tp>
        <v>10.852424080980287</v>
        <stp/>
        <stp>WINFUT_F_0</stp>
        <stp>TRIM</stp>
        <tr r="AG2" s="1"/>
      </tp>
      <tp>
        <v>7.8082901554404147</v>
        <stp/>
        <stp>WINFUT_F_0</stp>
        <stp>SEM</stp>
        <tr r="AA2" s="1"/>
      </tp>
      <tp>
        <v>0</v>
        <stp/>
        <stp>WINFUT_F_0</stp>
        <stp>PEX</stp>
        <tr r="I2" s="1"/>
      </tp>
      <tp>
        <v>0</v>
        <stp/>
        <stp>WINFUT_F_0</stp>
        <stp>PRT</stp>
        <tr r="X2" s="1"/>
      </tp>
      <tp>
        <v>1</v>
        <stp/>
        <stp>WINFUT_F_0</stp>
        <stp>QUL</stp>
        <tr r="O2" s="1"/>
      </tp>
      <tp>
        <v>0</v>
        <stp/>
        <stp>WINFUT_F_0</stp>
        <stp>QTE</stp>
        <tr r="Y2" s="1"/>
      </tp>
      <tp>
        <v>2076016</v>
        <stp/>
        <stp>WINFUT_F_0</stp>
        <stp>QTT</stp>
        <tr r="P2" s="1"/>
      </tp>
      <tp t="s">
        <v>14/10/2026</v>
        <stp/>
        <stp>WINFUT_F_0</stp>
        <stp>VEN</stp>
        <tr r="AI2" s="1"/>
      </tp>
      <tp t="s">
        <v>14/10/2026</v>
        <stp/>
        <stp>WINFUT_F_0</stp>
        <stp>VAL</stp>
        <tr r="AJ2" s="1"/>
      </tp>
      <tp>
        <v>0.42715447546878393</v>
        <stp/>
        <stp>WINFUT_F_0</stp>
        <stp>VAR</stp>
        <tr r="J2" s="1"/>
      </tp>
      <tp>
        <v>23</v>
        <stp/>
        <stp>WINFUT_F_0</stp>
        <stp>VOC</stp>
        <tr r="T2" s="1"/>
      </tp>
      <tp>
        <v>86456726283</v>
        <stp/>
        <stp>WINFUT_F_0</stp>
        <stp>VOL</stp>
        <tr r="Q2" s="1"/>
      </tp>
      <tp>
        <v>47</v>
        <stp/>
        <stp>WINFUT_F_0</stp>
        <stp>VOV</stp>
        <tr r="U2" s="1"/>
      </tp>
      <tp>
        <v>1352487143501.8792</v>
        <stp/>
        <stp>WINFUT_F_0</stp>
        <stp>VPJ</stp>
        <tr r="Z2" s="1"/>
      </tp>
      <tp>
        <v>208070</v>
        <stp/>
        <stp>WINFUT_F_0</stp>
        <stp>ULT</stp>
        <tr r="D2" s="1"/>
      </tp>
      <tp>
        <v>28.855469025051427</v>
        <stp/>
        <stp>WINFUT_F_0</stp>
        <stp>12M</stp>
        <tr r="AE2" s="1"/>
      </tp>
      <tp>
        <v>16.183501250423038</v>
        <stp/>
        <stp>WINFUT_F_0</stp>
        <stp>3M</stp>
        <tr r="AC2" s="1"/>
      </tp>
      <tp>
        <v>-0.20368865047299672</v>
        <stp/>
        <stp>WINFUT_F_0</stp>
        <stp>6M</stp>
        <tr r="AD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E4DE-FBB1-4D26-87E5-A4F4869F7B75}">
  <dimension ref="A1:AL2"/>
  <sheetViews>
    <sheetView tabSelected="1" workbookViewId="0">
      <selection activeCell="S22" sqref="S22"/>
    </sheetView>
  </sheetViews>
  <sheetFormatPr defaultRowHeight="15" x14ac:dyDescent="0.25"/>
  <sheetData>
    <row r="1" spans="1:3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39</v>
      </c>
      <c r="B2" t="str">
        <f>RTD("rtdtrading.rtdserver",, "WINFUT_F_0", "DAT")</f>
        <v>09/10/2026</v>
      </c>
      <c r="C2" t="str">
        <f>RTD("rtdtrading.rtdserver",, "WINFUT_F_0", "HOR")</f>
        <v>09:38:34</v>
      </c>
      <c r="D2">
        <f>RTD("rtdtrading.rtdserver",, "WINFUT_F_0", "ULT")</f>
        <v>208070</v>
      </c>
      <c r="E2">
        <f>RTD("rtdtrading.rtdserver",, "WINFUT_F_0", "ABE")</f>
        <v>209115</v>
      </c>
      <c r="F2">
        <f>RTD("rtdtrading.rtdserver",, "WINFUT_F_0", "MAX")</f>
        <v>209540</v>
      </c>
      <c r="G2">
        <f>RTD("rtdtrading.rtdserver",, "WINFUT_F_0", "MIN")</f>
        <v>207625</v>
      </c>
      <c r="H2">
        <f>RTD("rtdtrading.rtdserver",, "WINFUT_F_0", "FEC")</f>
        <v>207185</v>
      </c>
      <c r="I2">
        <f>RTD("rtdtrading.rtdserver",, "WINFUT_F_0", "PEX")</f>
        <v>0</v>
      </c>
      <c r="J2">
        <f>RTD("rtdtrading.rtdserver",, "WINFUT_F_0", "VAR")</f>
        <v>0.42715447546878393</v>
      </c>
      <c r="K2">
        <f>RTD("rtdtrading.rtdserver",, "WINFUT_F_0", "VARPTS")</f>
        <v>885</v>
      </c>
      <c r="L2">
        <f>RTD("rtdtrading.rtdserver",, "WINFUT_F_0", "MED")</f>
        <v>208227.50470853789</v>
      </c>
      <c r="M2" t="s">
        <v>38</v>
      </c>
      <c r="N2">
        <f>RTD("rtdtrading.rtdserver",, "WINFUT_F_0", "NEG")</f>
        <v>828659</v>
      </c>
      <c r="O2">
        <f>RTD("rtdtrading.rtdserver",, "WINFUT_F_0", "QUL")</f>
        <v>1</v>
      </c>
      <c r="P2">
        <f>RTD("rtdtrading.rtdserver",, "WINFUT_F_0", "QTT")</f>
        <v>2076016</v>
      </c>
      <c r="Q2">
        <f>RTD("rtdtrading.rtdserver",, "WINFUT_F_0", "VOL")</f>
        <v>86456726283</v>
      </c>
      <c r="R2">
        <f>RTD("rtdtrading.rtdserver",, "WINFUT_F_0", "OCP")</f>
        <v>208070</v>
      </c>
      <c r="S2">
        <f>RTD("rtdtrading.rtdserver",, "WINFUT_F_0", "OVD")</f>
        <v>208075</v>
      </c>
      <c r="T2">
        <f>RTD("rtdtrading.rtdserver",, "WINFUT_F_0", "VOC")</f>
        <v>23</v>
      </c>
      <c r="U2">
        <f>RTD("rtdtrading.rtdserver",, "WINFUT_F_0", "VOV")</f>
        <v>47</v>
      </c>
      <c r="V2">
        <f>RTD("rtdtrading.rtdserver",, "WINFUT_F_0", "AJU")</f>
        <v>0</v>
      </c>
      <c r="W2">
        <f>RTD("rtdtrading.rtdserver",, "WINFUT_F_0", "AJA")</f>
        <v>206635</v>
      </c>
      <c r="X2">
        <f>RTD("rtdtrading.rtdserver",, "WINFUT_F_0", "PRT")</f>
        <v>0</v>
      </c>
      <c r="Y2">
        <f>RTD("rtdtrading.rtdserver",, "WINFUT_F_0", "QTE")</f>
        <v>0</v>
      </c>
      <c r="Z2">
        <f>RTD("rtdtrading.rtdserver",, "WINFUT_F_0", "VPJ")</f>
        <v>1352487143501.8792</v>
      </c>
      <c r="AA2">
        <f>RTD("rtdtrading.rtdserver",, "WINFUT_F_0", "SEM")</f>
        <v>7.8082901554404147</v>
      </c>
      <c r="AB2">
        <f>RTD("rtdtrading.rtdserver",, "WINFUT_F_0", "MES")</f>
        <v>10.852424080980287</v>
      </c>
      <c r="AC2">
        <f>RTD("rtdtrading.rtdserver",, "WINFUT_F_0", "3M")</f>
        <v>16.183501250423038</v>
      </c>
      <c r="AD2">
        <f>RTD("rtdtrading.rtdserver",, "WINFUT_F_0", "6M")</f>
        <v>-0.20368865047299672</v>
      </c>
      <c r="AE2">
        <f>RTD("rtdtrading.rtdserver",, "WINFUT_F_0", "12M")</f>
        <v>28.855469025051427</v>
      </c>
      <c r="AF2">
        <f>RTD("rtdtrading.rtdserver",, "WINFUT_F_0", "ANO")</f>
        <v>17.186204186949816</v>
      </c>
      <c r="AG2">
        <f>RTD("rtdtrading.rtdserver",, "WINFUT_F_0", "TRIM")</f>
        <v>10.852424080980287</v>
      </c>
      <c r="AH2">
        <f>RTD("rtdtrading.rtdserver",, "WINFUT_F_0", "SEMES")</f>
        <v>16.782420100832386</v>
      </c>
      <c r="AI2" t="str">
        <f>RTD("rtdtrading.rtdserver",, "WINFUT_F_0", "VEN")</f>
        <v>14/10/2026</v>
      </c>
      <c r="AJ2" t="str">
        <f>RTD("rtdtrading.rtdserver",, "WINFUT_F_0", "VAL")</f>
        <v>14/10/2026</v>
      </c>
      <c r="AK2">
        <f>RTD("rtdtrading.rtdserver",, "WINFUT_F_0", "CAB")</f>
        <v>1138999</v>
      </c>
      <c r="AL2" t="str">
        <f>RTD("rtdtrading.rtdserver",, "WINFUT_F_0", "EST")</f>
        <v>Aberto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Andrade</dc:creator>
  <cp:lastModifiedBy>Carlos Andrade</cp:lastModifiedBy>
  <dcterms:created xsi:type="dcterms:W3CDTF">2026-10-09T12:32:29Z</dcterms:created>
  <dcterms:modified xsi:type="dcterms:W3CDTF">2026-10-09T12:38:35Z</dcterms:modified>
</cp:coreProperties>
</file>